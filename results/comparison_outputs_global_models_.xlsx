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on\OneDrive\Desktop\Research\UBC\ProjectKickoff\ATC138Comparison_tests_\comparison_scripts_post_release\"/>
    </mc:Choice>
  </mc:AlternateContent>
  <xr:revisionPtr revIDLastSave="0" documentId="13_ncr:1_{589F2A53-AAB5-44B6-BFCC-AFA122C2EA69}" xr6:coauthVersionLast="47" xr6:coauthVersionMax="47" xr10:uidLastSave="{00000000-0000-0000-0000-000000000000}"/>
  <bookViews>
    <workbookView xWindow="-120" yWindow="-120" windowWidth="29040" windowHeight="15720" xr2:uid="{9F5F1FA4-9B25-4F82-8B27-64E924962748}"/>
  </bookViews>
  <sheets>
    <sheet name="comparison_outputs_global_mod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6" i="1" l="1"/>
  <c r="I46" i="1"/>
  <c r="H47" i="1"/>
  <c r="I47" i="1"/>
  <c r="H44" i="1"/>
  <c r="I44" i="1"/>
  <c r="H45" i="1"/>
  <c r="I45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4" i="1"/>
</calcChain>
</file>

<file path=xl/sharedStrings.xml><?xml version="1.0" encoding="utf-8"?>
<sst xmlns="http://schemas.openxmlformats.org/spreadsheetml/2006/main" count="57" uniqueCount="57">
  <si>
    <t>model</t>
  </si>
  <si>
    <t>model_label</t>
  </si>
  <si>
    <t>abs_diff_mean_FR(days)</t>
  </si>
  <si>
    <t>rel_diff_mean_FR(%)</t>
  </si>
  <si>
    <t>worst_system_MAE</t>
  </si>
  <si>
    <t>worst_system_P95</t>
  </si>
  <si>
    <t>Investigate_global</t>
  </si>
  <si>
    <t>Investigate_sys</t>
  </si>
  <si>
    <t>2010_PC1a_1_IM1</t>
  </si>
  <si>
    <t>2010_PC1a_1_IM2</t>
  </si>
  <si>
    <t>2010_PC1a_1_IM3</t>
  </si>
  <si>
    <t>2010_PC1a_1_IM4</t>
  </si>
  <si>
    <t>2010_PC1a_1_IM5</t>
  </si>
  <si>
    <t>2010_PC1a_1_IM6</t>
  </si>
  <si>
    <t>2010_PC1a_1_IM7</t>
  </si>
  <si>
    <t>2010_S3b_4_IM1</t>
  </si>
  <si>
    <t>2010_S3b_4_IM2</t>
  </si>
  <si>
    <t>2010_S3b_4_IM3</t>
  </si>
  <si>
    <t>2010_S3b_4_IM4</t>
  </si>
  <si>
    <t>2010_S3b_4_IM5</t>
  </si>
  <si>
    <t>2022_C1a_5_IM1</t>
  </si>
  <si>
    <t>2022_C1a_5_IM2</t>
  </si>
  <si>
    <t>2022_C1a_5_IM3</t>
  </si>
  <si>
    <t>2022_C1a_5_IM4</t>
  </si>
  <si>
    <t>2022_C1a_5_IM5</t>
  </si>
  <si>
    <t>2022_PC1a_1_IM1</t>
  </si>
  <si>
    <t>2022_PC1a_1_IM2</t>
  </si>
  <si>
    <t>2022_PC1a_1_IM3</t>
  </si>
  <si>
    <t>2022_PC1a_1_IM4</t>
  </si>
  <si>
    <t>2022_PC1a_1_IM5</t>
  </si>
  <si>
    <t>Thresholds:</t>
  </si>
  <si>
    <t>Unit:</t>
  </si>
  <si>
    <t>days</t>
  </si>
  <si>
    <t>%</t>
  </si>
  <si>
    <t>mean_FR(days)</t>
  </si>
  <si>
    <t>1900_S1a_6_IM1</t>
  </si>
  <si>
    <t>1900_S1a_6_IM2</t>
  </si>
  <si>
    <t>1900_S1a_6_IM3</t>
  </si>
  <si>
    <t>1900_S1a_6_IM4</t>
  </si>
  <si>
    <t>2009_S5a_2_IM1</t>
  </si>
  <si>
    <t>2009_S5a_2_IM2</t>
  </si>
  <si>
    <t>2009_S5a_2_IM3</t>
  </si>
  <si>
    <t>2009_S5a_2_IM4</t>
  </si>
  <si>
    <t>2009_S5a_2_IM5</t>
  </si>
  <si>
    <t>2009_S5a_2_IM6</t>
  </si>
  <si>
    <t>2009_S5a_2_IM7</t>
  </si>
  <si>
    <t>2009_S5a_2_IM8</t>
  </si>
  <si>
    <t>2022_S1a_6_IM1</t>
  </si>
  <si>
    <t>2022_S1a_6_IM2</t>
  </si>
  <si>
    <t>2022_S1a_6_IM3</t>
  </si>
  <si>
    <t>2022_S1a_6_IM4</t>
  </si>
  <si>
    <t>2023_C2a_3_IM1</t>
  </si>
  <si>
    <t>2023_C2a_3_IM2</t>
  </si>
  <si>
    <t>RCSW_1story</t>
  </si>
  <si>
    <t>haseltonRCMF_12story</t>
  </si>
  <si>
    <t>ICSB_batch</t>
  </si>
  <si>
    <t>haseltonRCMF_4story_batch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</si>
</sst>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6" fillId="0" borderId="0" xfId="0" applyFont="1"/>
    <xf numFmtId="0" fontId="0" fillId="0" borderId="0" xfId="0" applyAlignment="1">
      <alignment horizontal="right"/>
    </xf>
    <xf numFmtId="164" fontId="0" fillId="0" borderId="0" xfId="0" applyNumberFormat="1"/>
    <xf numFmtId="164" fontId="0" fillId="0" borderId="16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21</xdr:col>
      <xdr:colOff>0</xdr:colOff>
      <xdr:row>10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9BF7B80-CFEC-D4A3-A6A5-EAE86F4BCE1A}"/>
            </a:ext>
          </a:extLst>
        </xdr:cNvPr>
        <xdr:cNvSpPr txBox="1"/>
      </xdr:nvSpPr>
      <xdr:spPr>
        <a:xfrm>
          <a:off x="10591800" y="381000"/>
          <a:ext cx="6705600" cy="1524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Metric Definitions:   </a:t>
          </a:r>
        </a:p>
        <a:p>
          <a:endParaRPr lang="en-US" sz="1100"/>
        </a:p>
        <a:p>
          <a:pPr marL="171450" indent="-171450">
            <a:buFont typeface="Arial" panose="020B0604020202020204" pitchFamily="34" charset="0"/>
            <a:buChar char="•"/>
          </a:pPr>
          <a:r>
            <a:rPr lang="en-US" altLang="zh-CN" sz="1100"/>
            <a:t>Metric 1 (Col C): </a:t>
          </a:r>
          <a:r>
            <a:rPr lang="en-US" b="1"/>
            <a:t>absolute</a:t>
          </a:r>
          <a:r>
            <a:rPr lang="en-US"/>
            <a:t> difference of the mean functional recovery time [days] (threshold = 2 days)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US" sz="1100"/>
            <a:t>Metric 2 (Col D):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relative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difference of the mean functional recovery time [%] (threshold = 4%)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Metric 3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(Col E): </a:t>
          </a:r>
          <a:r>
            <a:rPr lang="en-US"/>
            <a:t>system wise, the </a:t>
          </a:r>
          <a:r>
            <a:rPr lang="en-US" b="1"/>
            <a:t>maximum mean absolute error (MAE)</a:t>
          </a:r>
          <a:r>
            <a:rPr lang="en-US"/>
            <a:t> of fraction unresolved at any point in time (i.e., the worst across all func and reoc systems) [%] (threshold = 1%)</a:t>
          </a:r>
        </a:p>
        <a:p>
          <a:pPr marL="171450" marR="0" lvl="0" indent="-17145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lang="en-US" sz="1100"/>
            <a:t>Metric 4 (Col F):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system wise, the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maximum 95th percentile absolute error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of fraction unresolved at any point in time (i.e., the worst across all func and reoc systems) [%] (threshold = 2%)</a:t>
          </a:r>
          <a:endParaRPr lang="en-US" sz="1100">
            <a:effectLst/>
          </a:endParaRPr>
        </a:p>
        <a:p>
          <a:pPr marL="171450" indent="-171450">
            <a:buFont typeface="Arial" panose="020B0604020202020204" pitchFamily="34" charset="0"/>
            <a:buChar char="•"/>
          </a:pPr>
          <a:endParaRPr lang="en-US" sz="1100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21</xdr:col>
      <xdr:colOff>0</xdr:colOff>
      <xdr:row>16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215C0EB-65EF-4CEF-83ED-BD83C059A5CB}"/>
            </a:ext>
          </a:extLst>
        </xdr:cNvPr>
        <xdr:cNvSpPr txBox="1"/>
      </xdr:nvSpPr>
      <xdr:spPr>
        <a:xfrm>
          <a:off x="10382250" y="2095500"/>
          <a:ext cx="6705600" cy="95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Flag columns:</a:t>
          </a:r>
        </a:p>
        <a:p>
          <a:endParaRPr lang="en-US" sz="1100"/>
        </a:p>
        <a:p>
          <a:pPr marL="171450" indent="-171450">
            <a:buFont typeface="Arial" panose="020B0604020202020204" pitchFamily="34" charset="0"/>
            <a:buChar char="•"/>
          </a:pP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Investigate_global</a:t>
          </a:r>
          <a:r>
            <a:rPr lang="en-US">
              <a:effectLst/>
            </a:rPr>
            <a:t> </a:t>
          </a:r>
          <a:r>
            <a:rPr lang="en-US" altLang="zh-CN" sz="1100"/>
            <a:t>(Col H): </a:t>
          </a:r>
          <a:r>
            <a:rPr lang="en-US" b="0"/>
            <a:t>investigate = TRUE</a:t>
          </a:r>
          <a:r>
            <a:rPr lang="en-US" b="0" baseline="0"/>
            <a:t> if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(Metric 1 &gt;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 days) ∩ (Metric 2 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≥ 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%) [TRUE 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fail, FALSE 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pass]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171450" marR="0" lvl="0" indent="-17145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Investigate_sys (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 I): </a:t>
          </a:r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investigate = TRUE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if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(Metric 3 &gt;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1%) ∩ (Metric 4 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≥ 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%) [TRUE 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fail, FALSE 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pass]</a:t>
          </a:r>
          <a:endParaRPr lang="en-US" sz="1100">
            <a:effectLst/>
          </a:endParaRPr>
        </a:p>
        <a:p>
          <a:pPr marL="171450" indent="-171450">
            <a:buFont typeface="Arial" panose="020B0604020202020204" pitchFamily="34" charset="0"/>
            <a:buChar char="•"/>
          </a:pPr>
          <a:endParaRPr lang="en-US"/>
        </a:p>
        <a:p>
          <a:pPr marL="171450" indent="-171450">
            <a:buFont typeface="Arial" panose="020B0604020202020204" pitchFamily="34" charset="0"/>
            <a:buChar char="•"/>
          </a:pP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3FED4-3570-48B5-B751-6F8E95F5C203}">
  <dimension ref="A1:I47"/>
  <sheetViews>
    <sheetView tabSelected="1" workbookViewId="0">
      <pane ySplit="1" topLeftCell="A2" activePane="bottomLeft" state="frozen"/>
      <selection pane="bottomLeft" activeCell="R20" sqref="R20"/>
    </sheetView>
  </sheetViews>
  <sheetFormatPr defaultRowHeight="15" x14ac:dyDescent="0.25"/>
  <cols>
    <col min="1" max="1" width="6.5703125" bestFit="1" customWidth="1"/>
    <col min="2" max="2" width="26.140625" bestFit="1" customWidth="1"/>
    <col min="3" max="3" width="22.85546875" bestFit="1" customWidth="1"/>
    <col min="4" max="4" width="19.140625" bestFit="1" customWidth="1"/>
    <col min="5" max="5" width="17.7109375" bestFit="1" customWidth="1"/>
    <col min="6" max="6" width="17" bestFit="1" customWidth="1"/>
    <col min="7" max="7" width="14.140625" bestFit="1" customWidth="1"/>
    <col min="8" max="8" width="17" bestFit="1" customWidth="1"/>
    <col min="9" max="9" width="14.28515625" bestFit="1" customWidth="1"/>
    <col min="10" max="10" width="6" customWidth="1"/>
  </cols>
  <sheetData>
    <row r="1" spans="1:9" x14ac:dyDescent="0.25">
      <c r="A1" s="9" t="s">
        <v>30</v>
      </c>
      <c r="C1" s="9">
        <v>2</v>
      </c>
      <c r="D1" s="9">
        <v>4</v>
      </c>
      <c r="E1" s="9">
        <v>0.02</v>
      </c>
      <c r="F1" s="9">
        <v>0.04</v>
      </c>
    </row>
    <row r="2" spans="1:9" x14ac:dyDescent="0.25">
      <c r="A2" t="s">
        <v>31</v>
      </c>
      <c r="C2" s="10" t="s">
        <v>32</v>
      </c>
      <c r="D2" s="10" t="s">
        <v>33</v>
      </c>
    </row>
    <row r="3" spans="1:9" x14ac:dyDescent="0.25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34</v>
      </c>
      <c r="H3" s="2" t="s">
        <v>6</v>
      </c>
      <c r="I3" s="3" t="s">
        <v>7</v>
      </c>
    </row>
    <row r="4" spans="1:9" x14ac:dyDescent="0.25">
      <c r="A4" s="4">
        <v>1</v>
      </c>
      <c r="B4" t="s">
        <v>35</v>
      </c>
      <c r="C4" s="11">
        <v>1.2073333333347499E-2</v>
      </c>
      <c r="D4" s="11">
        <v>1.24074209257432E-2</v>
      </c>
      <c r="E4" s="11">
        <v>1.6273224043715799E-3</v>
      </c>
      <c r="F4" s="11">
        <v>6.6687500000000201E-3</v>
      </c>
      <c r="G4" s="11">
        <v>97.307356666666607</v>
      </c>
      <c r="H4" t="b">
        <f>AND(C4&gt;$C$1, D4&gt;$D$1)</f>
        <v>0</v>
      </c>
      <c r="I4" s="5" t="b">
        <f>AND(F4&gt;$F$1,E4&gt;$E$1)</f>
        <v>0</v>
      </c>
    </row>
    <row r="5" spans="1:9" x14ac:dyDescent="0.25">
      <c r="A5" s="4">
        <v>2</v>
      </c>
      <c r="B5" t="s">
        <v>36</v>
      </c>
      <c r="C5" s="11">
        <v>1.3801849206349399</v>
      </c>
      <c r="D5" s="11">
        <v>1.00788029551631</v>
      </c>
      <c r="E5" s="11">
        <v>3.9966530054644797E-3</v>
      </c>
      <c r="F5" s="11">
        <v>1.392E-2</v>
      </c>
      <c r="G5" s="11">
        <v>136.93936936507899</v>
      </c>
      <c r="H5" t="b">
        <f t="shared" ref="H5:H43" si="0">AND(C5&gt;$C$1, D5&gt;$D$1)</f>
        <v>0</v>
      </c>
      <c r="I5" s="5" t="b">
        <f t="shared" ref="I5:I43" si="1">AND(F5&gt;$F$1,E5&gt;$E$1)</f>
        <v>0</v>
      </c>
    </row>
    <row r="6" spans="1:9" x14ac:dyDescent="0.25">
      <c r="A6" s="4">
        <v>3</v>
      </c>
      <c r="B6" t="s">
        <v>37</v>
      </c>
      <c r="C6" s="11">
        <v>0.61887174603177098</v>
      </c>
      <c r="D6" s="11">
        <v>0.31880342641132198</v>
      </c>
      <c r="E6" s="11">
        <v>5.4982915813016004E-3</v>
      </c>
      <c r="F6" s="11">
        <v>1.51698348497944E-2</v>
      </c>
      <c r="G6" s="11">
        <v>194.12330444444399</v>
      </c>
      <c r="H6" t="b">
        <f t="shared" si="0"/>
        <v>0</v>
      </c>
      <c r="I6" s="5" t="b">
        <f t="shared" si="1"/>
        <v>0</v>
      </c>
    </row>
    <row r="7" spans="1:9" x14ac:dyDescent="0.25">
      <c r="A7" s="4">
        <v>4</v>
      </c>
      <c r="B7" t="s">
        <v>38</v>
      </c>
      <c r="C7" s="11">
        <v>0.50209746031754299</v>
      </c>
      <c r="D7" s="11">
        <v>0.14967439945820299</v>
      </c>
      <c r="E7" s="11">
        <v>7.64894765077225E-3</v>
      </c>
      <c r="F7" s="11">
        <v>2.1044889836835001E-2</v>
      </c>
      <c r="G7" s="11">
        <v>335.45981285714203</v>
      </c>
      <c r="H7" t="b">
        <f t="shared" si="0"/>
        <v>0</v>
      </c>
      <c r="I7" s="5" t="b">
        <f t="shared" si="1"/>
        <v>0</v>
      </c>
    </row>
    <row r="8" spans="1:9" x14ac:dyDescent="0.25">
      <c r="A8" s="4">
        <v>5</v>
      </c>
      <c r="B8" t="s">
        <v>39</v>
      </c>
      <c r="C8" s="11">
        <v>1.07999999999999E-2</v>
      </c>
      <c r="D8" s="11">
        <v>2.6137463697966998</v>
      </c>
      <c r="E8" s="11">
        <v>4.5355191256830498E-5</v>
      </c>
      <c r="F8" s="11">
        <v>1.7333333333333301E-4</v>
      </c>
      <c r="G8" s="11">
        <v>0.41320000000000001</v>
      </c>
      <c r="H8" t="b">
        <f t="shared" si="0"/>
        <v>0</v>
      </c>
      <c r="I8" s="5" t="b">
        <f t="shared" si="1"/>
        <v>0</v>
      </c>
    </row>
    <row r="9" spans="1:9" x14ac:dyDescent="0.25">
      <c r="A9" s="4">
        <v>6</v>
      </c>
      <c r="B9" t="s">
        <v>40</v>
      </c>
      <c r="C9" s="11">
        <v>4.7400000000000497E-2</v>
      </c>
      <c r="D9" s="11">
        <v>1.0119267883066301</v>
      </c>
      <c r="E9" s="11">
        <v>3.6147540983606601E-4</v>
      </c>
      <c r="F9" s="11">
        <v>1.54999999999999E-3</v>
      </c>
      <c r="G9" s="11">
        <v>4.6841333333333299</v>
      </c>
      <c r="H9" t="b">
        <f t="shared" si="0"/>
        <v>0</v>
      </c>
      <c r="I9" s="5" t="b">
        <f t="shared" si="1"/>
        <v>0</v>
      </c>
    </row>
    <row r="10" spans="1:9" x14ac:dyDescent="0.25">
      <c r="A10" s="4">
        <v>7</v>
      </c>
      <c r="B10" t="s">
        <v>41</v>
      </c>
      <c r="C10" s="11">
        <v>6.7000000000000101E-2</v>
      </c>
      <c r="D10" s="11">
        <v>0.34428301776911502</v>
      </c>
      <c r="E10" s="11">
        <v>9.89344262295082E-4</v>
      </c>
      <c r="F10" s="11">
        <v>3.3333333333333301E-3</v>
      </c>
      <c r="G10" s="11">
        <v>19.460733333333302</v>
      </c>
      <c r="H10" t="b">
        <f t="shared" si="0"/>
        <v>0</v>
      </c>
      <c r="I10" s="5" t="b">
        <f t="shared" si="1"/>
        <v>0</v>
      </c>
    </row>
    <row r="11" spans="1:9" x14ac:dyDescent="0.25">
      <c r="A11" s="4">
        <v>8</v>
      </c>
      <c r="B11" t="s">
        <v>42</v>
      </c>
      <c r="C11" s="11">
        <v>0.61400000000000399</v>
      </c>
      <c r="D11" s="11">
        <v>1.1527471303355299</v>
      </c>
      <c r="E11" s="11">
        <v>1.65543803983783E-3</v>
      </c>
      <c r="F11" s="11">
        <v>7.4349999999999998E-3</v>
      </c>
      <c r="G11" s="11">
        <v>53.264066666666601</v>
      </c>
      <c r="H11" t="b">
        <f t="shared" si="0"/>
        <v>0</v>
      </c>
      <c r="I11" s="5" t="b">
        <f t="shared" si="1"/>
        <v>0</v>
      </c>
    </row>
    <row r="12" spans="1:9" x14ac:dyDescent="0.25">
      <c r="A12" s="4">
        <v>9</v>
      </c>
      <c r="B12" t="s">
        <v>43</v>
      </c>
      <c r="C12" s="11">
        <v>9.1799999999985005E-2</v>
      </c>
      <c r="D12" s="11">
        <v>0.170463196909104</v>
      </c>
      <c r="E12" s="11">
        <v>2.2864216463951998E-3</v>
      </c>
      <c r="F12" s="11">
        <v>1.005E-2</v>
      </c>
      <c r="G12" s="11">
        <v>53.853266666666599</v>
      </c>
      <c r="H12" t="b">
        <f t="shared" si="0"/>
        <v>0</v>
      </c>
      <c r="I12" s="5" t="b">
        <f t="shared" si="1"/>
        <v>0</v>
      </c>
    </row>
    <row r="13" spans="1:9" x14ac:dyDescent="0.25">
      <c r="A13" s="4">
        <v>10</v>
      </c>
      <c r="B13" t="s">
        <v>44</v>
      </c>
      <c r="C13" s="11">
        <v>0.33222666666667</v>
      </c>
      <c r="D13" s="11">
        <v>0.38132982032880602</v>
      </c>
      <c r="E13" s="11">
        <v>2.4495129484438001E-3</v>
      </c>
      <c r="F13" s="11">
        <v>8.1496461071789393E-3</v>
      </c>
      <c r="G13" s="11">
        <v>87.123180238095202</v>
      </c>
      <c r="H13" t="b">
        <f t="shared" si="0"/>
        <v>0</v>
      </c>
      <c r="I13" s="5" t="b">
        <f t="shared" si="1"/>
        <v>0</v>
      </c>
    </row>
    <row r="14" spans="1:9" x14ac:dyDescent="0.25">
      <c r="A14" s="4">
        <v>11</v>
      </c>
      <c r="B14" t="s">
        <v>45</v>
      </c>
      <c r="C14" s="11">
        <v>0.94603166666666905</v>
      </c>
      <c r="D14" s="11">
        <v>0.98245718857136299</v>
      </c>
      <c r="E14" s="11">
        <v>2.3826473488076701E-3</v>
      </c>
      <c r="F14" s="11">
        <v>9.5786612300372796E-3</v>
      </c>
      <c r="G14" s="11">
        <v>96.2924061904762</v>
      </c>
      <c r="H14" t="b">
        <f t="shared" si="0"/>
        <v>0</v>
      </c>
      <c r="I14" s="5" t="b">
        <f t="shared" si="1"/>
        <v>0</v>
      </c>
    </row>
    <row r="15" spans="1:9" x14ac:dyDescent="0.25">
      <c r="A15" s="4">
        <v>12</v>
      </c>
      <c r="B15" t="s">
        <v>46</v>
      </c>
      <c r="C15" s="11">
        <v>2.5457857142867999E-2</v>
      </c>
      <c r="D15" s="11">
        <v>1.8492558662752699E-2</v>
      </c>
      <c r="E15" s="11">
        <v>2.8569606841097198E-3</v>
      </c>
      <c r="F15" s="11">
        <v>9.4118676089846101E-3</v>
      </c>
      <c r="G15" s="11">
        <v>137.66541238095201</v>
      </c>
      <c r="H15" t="b">
        <f t="shared" si="0"/>
        <v>0</v>
      </c>
      <c r="I15" s="5" t="b">
        <f t="shared" si="1"/>
        <v>0</v>
      </c>
    </row>
    <row r="16" spans="1:9" x14ac:dyDescent="0.25">
      <c r="A16" s="4">
        <v>13</v>
      </c>
      <c r="B16" t="s">
        <v>8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t="b">
        <f t="shared" si="0"/>
        <v>0</v>
      </c>
      <c r="I16" s="5" t="b">
        <f t="shared" si="1"/>
        <v>0</v>
      </c>
    </row>
    <row r="17" spans="1:9" x14ac:dyDescent="0.25">
      <c r="A17" s="4">
        <v>14</v>
      </c>
      <c r="B17" t="s">
        <v>9</v>
      </c>
      <c r="C17" s="11">
        <v>7.5600000000000001E-2</v>
      </c>
      <c r="D17" s="11">
        <v>13.705583756345099</v>
      </c>
      <c r="E17" s="11">
        <v>1.15300546448087E-4</v>
      </c>
      <c r="F17" s="11">
        <v>4.4999999999999999E-4</v>
      </c>
      <c r="G17" s="11">
        <v>0.55159999999999998</v>
      </c>
      <c r="H17" t="b">
        <f t="shared" si="0"/>
        <v>0</v>
      </c>
      <c r="I17" s="5" t="b">
        <f t="shared" si="1"/>
        <v>0</v>
      </c>
    </row>
    <row r="18" spans="1:9" x14ac:dyDescent="0.25">
      <c r="A18" s="4">
        <v>15</v>
      </c>
      <c r="B18" t="s">
        <v>10</v>
      </c>
      <c r="C18" s="11">
        <v>2.6599999999999201E-2</v>
      </c>
      <c r="D18" s="11">
        <v>0.56101573374950997</v>
      </c>
      <c r="E18" s="11">
        <v>3.72404371584699E-4</v>
      </c>
      <c r="F18" s="11">
        <v>1.5149999999999901E-3</v>
      </c>
      <c r="G18" s="11">
        <v>4.7413999999999996</v>
      </c>
      <c r="H18" t="b">
        <f t="shared" si="0"/>
        <v>0</v>
      </c>
      <c r="I18" s="5" t="b">
        <f t="shared" si="1"/>
        <v>0</v>
      </c>
    </row>
    <row r="19" spans="1:9" x14ac:dyDescent="0.25">
      <c r="A19" s="4">
        <v>16</v>
      </c>
      <c r="B19" t="s">
        <v>11</v>
      </c>
      <c r="C19" s="11">
        <v>1.8999999999998299E-2</v>
      </c>
      <c r="D19" s="11">
        <v>3.0146671490131401E-2</v>
      </c>
      <c r="E19" s="11">
        <v>2.6596621957277701E-3</v>
      </c>
      <c r="F19" s="11">
        <v>1.02583333333333E-2</v>
      </c>
      <c r="G19" s="11">
        <v>63.025199999999998</v>
      </c>
      <c r="H19" t="b">
        <f t="shared" si="0"/>
        <v>0</v>
      </c>
      <c r="I19" s="5" t="b">
        <f t="shared" si="1"/>
        <v>0</v>
      </c>
    </row>
    <row r="20" spans="1:9" x14ac:dyDescent="0.25">
      <c r="A20" s="4">
        <v>17</v>
      </c>
      <c r="B20" t="s">
        <v>12</v>
      </c>
      <c r="C20" s="11">
        <v>0.68800000000000205</v>
      </c>
      <c r="D20" s="11">
        <v>0.55194721844273997</v>
      </c>
      <c r="E20" s="11">
        <v>3.8649015271701699E-3</v>
      </c>
      <c r="F20" s="11">
        <v>1.8665000000000001E-2</v>
      </c>
      <c r="G20" s="11">
        <v>124.64960000000001</v>
      </c>
      <c r="H20" t="b">
        <f t="shared" si="0"/>
        <v>0</v>
      </c>
      <c r="I20" s="5" t="b">
        <f t="shared" si="1"/>
        <v>0</v>
      </c>
    </row>
    <row r="21" spans="1:9" x14ac:dyDescent="0.25">
      <c r="A21" s="4">
        <v>18</v>
      </c>
      <c r="B21" t="s">
        <v>13</v>
      </c>
      <c r="C21" s="11">
        <v>0.86919999999997799</v>
      </c>
      <c r="D21" s="11">
        <v>0.48930641434997302</v>
      </c>
      <c r="E21" s="11">
        <v>6.1959016393442496E-3</v>
      </c>
      <c r="F21" s="11">
        <v>1.9137903225806399E-2</v>
      </c>
      <c r="G21" s="11">
        <v>177.63919999999999</v>
      </c>
      <c r="H21" t="b">
        <f t="shared" si="0"/>
        <v>0</v>
      </c>
      <c r="I21" s="5" t="b">
        <f t="shared" si="1"/>
        <v>0</v>
      </c>
    </row>
    <row r="22" spans="1:9" x14ac:dyDescent="0.25">
      <c r="A22" s="4">
        <v>19</v>
      </c>
      <c r="B22" t="s">
        <v>14</v>
      </c>
      <c r="C22" s="11">
        <v>0.44939999999999702</v>
      </c>
      <c r="D22" s="11">
        <v>0.19525496544586499</v>
      </c>
      <c r="E22" s="11">
        <v>3.87571782716327E-3</v>
      </c>
      <c r="F22" s="11">
        <v>9.2951258002494895E-3</v>
      </c>
      <c r="G22" s="11">
        <v>230.16059999999999</v>
      </c>
      <c r="H22" t="b">
        <f t="shared" si="0"/>
        <v>0</v>
      </c>
      <c r="I22" s="5" t="b">
        <f t="shared" si="1"/>
        <v>0</v>
      </c>
    </row>
    <row r="23" spans="1:9" x14ac:dyDescent="0.25">
      <c r="A23" s="4">
        <v>20</v>
      </c>
      <c r="B23" t="s">
        <v>15</v>
      </c>
      <c r="C23" s="11">
        <v>0.1192</v>
      </c>
      <c r="D23" s="11">
        <v>37.257762033756997</v>
      </c>
      <c r="E23" s="11">
        <v>2.9781420765027299E-4</v>
      </c>
      <c r="F23" s="11">
        <v>9.1903225806451601E-4</v>
      </c>
      <c r="G23" s="11">
        <v>0.31993333333333301</v>
      </c>
      <c r="H23" t="b">
        <f t="shared" si="0"/>
        <v>0</v>
      </c>
      <c r="I23" s="5" t="b">
        <f t="shared" si="1"/>
        <v>0</v>
      </c>
    </row>
    <row r="24" spans="1:9" x14ac:dyDescent="0.25">
      <c r="A24" s="4">
        <v>21</v>
      </c>
      <c r="B24" t="s">
        <v>16</v>
      </c>
      <c r="C24" s="11">
        <v>3.68074063492063</v>
      </c>
      <c r="D24" s="11">
        <v>2.8757623752578199</v>
      </c>
      <c r="E24" s="11">
        <v>1.26442232630757E-2</v>
      </c>
      <c r="F24" s="11">
        <v>4.0353225806451599E-2</v>
      </c>
      <c r="G24" s="11">
        <v>127.99182111111099</v>
      </c>
      <c r="H24" t="b">
        <f t="shared" si="0"/>
        <v>0</v>
      </c>
      <c r="I24" s="5" t="b">
        <f t="shared" si="1"/>
        <v>0</v>
      </c>
    </row>
    <row r="25" spans="1:9" x14ac:dyDescent="0.25">
      <c r="A25" s="4">
        <v>22</v>
      </c>
      <c r="B25" t="s">
        <v>17</v>
      </c>
      <c r="C25" s="11">
        <v>3.65354634920635</v>
      </c>
      <c r="D25" s="11">
        <v>2.39610226480427</v>
      </c>
      <c r="E25" s="11">
        <v>1.24046448087431E-2</v>
      </c>
      <c r="F25" s="11">
        <v>4.37609677419354E-2</v>
      </c>
      <c r="G25" s="11">
        <v>152.47873193362099</v>
      </c>
      <c r="H25" t="b">
        <f t="shared" si="0"/>
        <v>0</v>
      </c>
      <c r="I25" s="5" t="b">
        <f t="shared" si="1"/>
        <v>0</v>
      </c>
    </row>
    <row r="26" spans="1:9" x14ac:dyDescent="0.25">
      <c r="A26" s="4">
        <v>23</v>
      </c>
      <c r="B26" t="s">
        <v>18</v>
      </c>
      <c r="C26" s="11">
        <v>0.24415904761903501</v>
      </c>
      <c r="D26" s="11">
        <v>0.14028977951769001</v>
      </c>
      <c r="E26" s="11">
        <v>3.34899765797339E-3</v>
      </c>
      <c r="F26" s="11">
        <v>1.02780715916049E-2</v>
      </c>
      <c r="G26" s="11">
        <v>174.03908428571401</v>
      </c>
      <c r="H26" t="b">
        <f t="shared" si="0"/>
        <v>0</v>
      </c>
      <c r="I26" s="5" t="b">
        <f t="shared" si="1"/>
        <v>0</v>
      </c>
    </row>
    <row r="27" spans="1:9" x14ac:dyDescent="0.25">
      <c r="A27" s="4">
        <v>24</v>
      </c>
      <c r="B27" t="s">
        <v>19</v>
      </c>
      <c r="C27" s="11">
        <v>1.5239018253968699</v>
      </c>
      <c r="D27" s="11">
        <v>0.46660095383969702</v>
      </c>
      <c r="E27" s="11">
        <v>8.7437817800286206E-3</v>
      </c>
      <c r="F27" s="11">
        <v>3.0298796799498699E-2</v>
      </c>
      <c r="G27" s="11">
        <v>326.59638023809498</v>
      </c>
      <c r="H27" t="b">
        <f t="shared" si="0"/>
        <v>0</v>
      </c>
      <c r="I27" s="5" t="b">
        <f t="shared" si="1"/>
        <v>0</v>
      </c>
    </row>
    <row r="28" spans="1:9" x14ac:dyDescent="0.25">
      <c r="A28" s="4">
        <v>25</v>
      </c>
      <c r="B28" t="s">
        <v>20</v>
      </c>
      <c r="C28" s="11">
        <v>2.5999999999999899E-3</v>
      </c>
      <c r="D28" s="11">
        <v>0.90277777777777402</v>
      </c>
      <c r="E28" s="11">
        <v>7.2404371584699405E-5</v>
      </c>
      <c r="F28" s="11">
        <v>2.0000000000000001E-4</v>
      </c>
      <c r="G28" s="11">
        <v>0.28799999999999998</v>
      </c>
      <c r="H28" t="b">
        <f t="shared" si="0"/>
        <v>0</v>
      </c>
      <c r="I28" s="5" t="b">
        <f t="shared" si="1"/>
        <v>0</v>
      </c>
    </row>
    <row r="29" spans="1:9" x14ac:dyDescent="0.25">
      <c r="A29" s="4">
        <v>26</v>
      </c>
      <c r="B29" t="s">
        <v>21</v>
      </c>
      <c r="C29" s="11">
        <v>7.2433333333336195E-2</v>
      </c>
      <c r="D29" s="11">
        <v>0.31745247964280598</v>
      </c>
      <c r="E29" s="11">
        <v>9.54563282213994E-4</v>
      </c>
      <c r="F29" s="11">
        <v>5.0399999999999898E-3</v>
      </c>
      <c r="G29" s="11">
        <v>22.817063333333302</v>
      </c>
      <c r="H29" t="b">
        <f t="shared" si="0"/>
        <v>0</v>
      </c>
      <c r="I29" s="5" t="b">
        <f t="shared" si="1"/>
        <v>0</v>
      </c>
    </row>
    <row r="30" spans="1:9" x14ac:dyDescent="0.25">
      <c r="A30" s="4">
        <v>27</v>
      </c>
      <c r="B30" t="s">
        <v>22</v>
      </c>
      <c r="C30" s="11">
        <v>0.134497777777767</v>
      </c>
      <c r="D30" s="11">
        <v>0.25181115868908399</v>
      </c>
      <c r="E30" s="11">
        <v>1.9565573770491799E-3</v>
      </c>
      <c r="F30" s="11">
        <v>8.6099999999999996E-3</v>
      </c>
      <c r="G30" s="11">
        <v>53.4121595238095</v>
      </c>
      <c r="H30" t="b">
        <f t="shared" si="0"/>
        <v>0</v>
      </c>
      <c r="I30" s="5" t="b">
        <f t="shared" si="1"/>
        <v>0</v>
      </c>
    </row>
    <row r="31" spans="1:9" x14ac:dyDescent="0.25">
      <c r="A31" s="4">
        <v>28</v>
      </c>
      <c r="B31" t="s">
        <v>23</v>
      </c>
      <c r="C31" s="11">
        <v>0.46880642857144</v>
      </c>
      <c r="D31" s="11">
        <v>0.425567164225987</v>
      </c>
      <c r="E31" s="11">
        <v>2.1420132297957899E-3</v>
      </c>
      <c r="F31" s="11">
        <v>7.2000000000000597E-3</v>
      </c>
      <c r="G31" s="11">
        <v>110.16038547619</v>
      </c>
      <c r="H31" t="b">
        <f t="shared" si="0"/>
        <v>0</v>
      </c>
      <c r="I31" s="5" t="b">
        <f t="shared" si="1"/>
        <v>0</v>
      </c>
    </row>
    <row r="32" spans="1:9" x14ac:dyDescent="0.25">
      <c r="A32" s="4">
        <v>29</v>
      </c>
      <c r="B32" t="s">
        <v>24</v>
      </c>
      <c r="C32" s="11">
        <v>0.52065269841267503</v>
      </c>
      <c r="D32" s="11">
        <v>0.21579164475961701</v>
      </c>
      <c r="E32" s="11">
        <v>6.4740640973667196E-3</v>
      </c>
      <c r="F32" s="11">
        <v>1.53586756591047E-2</v>
      </c>
      <c r="G32" s="11">
        <v>241.27565225829699</v>
      </c>
      <c r="H32" t="b">
        <f t="shared" si="0"/>
        <v>0</v>
      </c>
      <c r="I32" s="5" t="b">
        <f t="shared" si="1"/>
        <v>0</v>
      </c>
    </row>
    <row r="33" spans="1:9" x14ac:dyDescent="0.25">
      <c r="A33" s="4">
        <v>30</v>
      </c>
      <c r="B33" t="s">
        <v>25</v>
      </c>
      <c r="C33" s="11">
        <v>7.1999999999999998E-3</v>
      </c>
      <c r="D33" s="11">
        <v>27.906976744186</v>
      </c>
      <c r="E33" s="11">
        <v>1.6393442622950801E-5</v>
      </c>
      <c r="F33" s="11">
        <v>1.38333333333333E-4</v>
      </c>
      <c r="G33" s="11">
        <v>2.58E-2</v>
      </c>
      <c r="H33" t="b">
        <f t="shared" si="0"/>
        <v>0</v>
      </c>
      <c r="I33" s="5" t="b">
        <f t="shared" si="1"/>
        <v>0</v>
      </c>
    </row>
    <row r="34" spans="1:9" x14ac:dyDescent="0.25">
      <c r="A34" s="4">
        <v>31</v>
      </c>
      <c r="B34" t="s">
        <v>26</v>
      </c>
      <c r="C34" s="11">
        <v>2.2399999999999899E-2</v>
      </c>
      <c r="D34" s="11">
        <v>1.80995475113121</v>
      </c>
      <c r="E34" s="11">
        <v>1.8935307597391099E-4</v>
      </c>
      <c r="F34" s="11">
        <v>9.5499999999999904E-4</v>
      </c>
      <c r="G34" s="11">
        <v>1.2376</v>
      </c>
      <c r="H34" t="b">
        <f t="shared" si="0"/>
        <v>0</v>
      </c>
      <c r="I34" s="5" t="b">
        <f t="shared" si="1"/>
        <v>0</v>
      </c>
    </row>
    <row r="35" spans="1:9" x14ac:dyDescent="0.25">
      <c r="A35" s="4">
        <v>32</v>
      </c>
      <c r="B35" t="s">
        <v>27</v>
      </c>
      <c r="C35" s="11">
        <v>0.103799999999999</v>
      </c>
      <c r="D35" s="11">
        <v>1.83775362062249</v>
      </c>
      <c r="E35" s="11">
        <v>5.6010928961748596E-4</v>
      </c>
      <c r="F35" s="11">
        <v>1.38322947214076E-3</v>
      </c>
      <c r="G35" s="11">
        <v>5.6482000000000001</v>
      </c>
      <c r="H35" t="b">
        <f t="shared" si="0"/>
        <v>0</v>
      </c>
      <c r="I35" s="5" t="b">
        <f t="shared" si="1"/>
        <v>0</v>
      </c>
    </row>
    <row r="36" spans="1:9" x14ac:dyDescent="0.25">
      <c r="A36" s="4">
        <v>33</v>
      </c>
      <c r="B36" t="s">
        <v>28</v>
      </c>
      <c r="C36" s="11">
        <v>0.43720000000000397</v>
      </c>
      <c r="D36" s="11">
        <v>0.445927696883406</v>
      </c>
      <c r="E36" s="11">
        <v>2.6734972677595601E-3</v>
      </c>
      <c r="F36" s="11">
        <v>5.8454728739002898E-3</v>
      </c>
      <c r="G36" s="11">
        <v>98.0428</v>
      </c>
      <c r="H36" t="b">
        <f t="shared" si="0"/>
        <v>0</v>
      </c>
      <c r="I36" s="5" t="b">
        <f t="shared" si="1"/>
        <v>0</v>
      </c>
    </row>
    <row r="37" spans="1:9" x14ac:dyDescent="0.25">
      <c r="A37" s="4">
        <v>34</v>
      </c>
      <c r="B37" t="s">
        <v>29</v>
      </c>
      <c r="C37" s="11">
        <v>4.7399999999981901E-2</v>
      </c>
      <c r="D37" s="11">
        <v>2.8789527900321299E-2</v>
      </c>
      <c r="E37" s="11">
        <v>3.72685764490094E-3</v>
      </c>
      <c r="F37" s="11">
        <v>1.10230042750944E-2</v>
      </c>
      <c r="G37" s="11">
        <v>164.64320000000001</v>
      </c>
      <c r="H37" t="b">
        <f t="shared" si="0"/>
        <v>0</v>
      </c>
      <c r="I37" s="5" t="b">
        <f t="shared" si="1"/>
        <v>0</v>
      </c>
    </row>
    <row r="38" spans="1:9" x14ac:dyDescent="0.25">
      <c r="A38" s="4">
        <v>35</v>
      </c>
      <c r="B38" t="s">
        <v>47</v>
      </c>
      <c r="C38" s="11">
        <v>0.147242539682544</v>
      </c>
      <c r="D38" s="11">
        <v>0.54289866308422996</v>
      </c>
      <c r="E38" s="11">
        <v>1.4269945355191199E-3</v>
      </c>
      <c r="F38" s="11">
        <v>5.3933333333333099E-3</v>
      </c>
      <c r="G38" s="11">
        <v>27.1215513492063</v>
      </c>
      <c r="H38" t="b">
        <f t="shared" si="0"/>
        <v>0</v>
      </c>
      <c r="I38" s="5" t="b">
        <f t="shared" si="1"/>
        <v>0</v>
      </c>
    </row>
    <row r="39" spans="1:9" x14ac:dyDescent="0.25">
      <c r="A39" s="4">
        <v>36</v>
      </c>
      <c r="B39" t="s">
        <v>48</v>
      </c>
      <c r="C39" s="11">
        <v>0.84470572150072998</v>
      </c>
      <c r="D39" s="11">
        <v>1.2335575212227201</v>
      </c>
      <c r="E39" s="11">
        <v>1.25792349726775E-3</v>
      </c>
      <c r="F39" s="11">
        <v>4.38166666666667E-3</v>
      </c>
      <c r="G39" s="11">
        <v>68.477205721500695</v>
      </c>
      <c r="H39" t="b">
        <f t="shared" si="0"/>
        <v>0</v>
      </c>
      <c r="I39" s="5" t="b">
        <f t="shared" si="1"/>
        <v>0</v>
      </c>
    </row>
    <row r="40" spans="1:9" x14ac:dyDescent="0.25">
      <c r="A40" s="4">
        <v>37</v>
      </c>
      <c r="B40" t="s">
        <v>49</v>
      </c>
      <c r="C40" s="11">
        <v>0.43367769841270798</v>
      </c>
      <c r="D40" s="11">
        <v>0.33770111807430703</v>
      </c>
      <c r="E40" s="11">
        <v>3.2157812906583299E-3</v>
      </c>
      <c r="F40" s="11">
        <v>8.5298387096774102E-3</v>
      </c>
      <c r="G40" s="11">
        <v>128.42056931457401</v>
      </c>
      <c r="H40" t="b">
        <f t="shared" si="0"/>
        <v>0</v>
      </c>
      <c r="I40" s="5" t="b">
        <f t="shared" si="1"/>
        <v>0</v>
      </c>
    </row>
    <row r="41" spans="1:9" x14ac:dyDescent="0.25">
      <c r="A41" s="4">
        <v>38</v>
      </c>
      <c r="B41" t="s">
        <v>50</v>
      </c>
      <c r="C41" s="11">
        <v>1.53769746031747</v>
      </c>
      <c r="D41" s="11">
        <v>0.62043702926767497</v>
      </c>
      <c r="E41" s="11">
        <v>6.6776896516316199E-3</v>
      </c>
      <c r="F41" s="11">
        <v>1.5109411318705201E-2</v>
      </c>
      <c r="G41" s="11">
        <v>247.84101976190399</v>
      </c>
      <c r="H41" t="b">
        <f t="shared" si="0"/>
        <v>0</v>
      </c>
      <c r="I41" s="5" t="b">
        <f t="shared" si="1"/>
        <v>0</v>
      </c>
    </row>
    <row r="42" spans="1:9" x14ac:dyDescent="0.25">
      <c r="A42" s="4">
        <v>39</v>
      </c>
      <c r="B42" t="s">
        <v>51</v>
      </c>
      <c r="C42" s="11">
        <v>1.73580000000001</v>
      </c>
      <c r="D42" s="11">
        <v>1.1577086199870501</v>
      </c>
      <c r="E42" s="11">
        <v>3.7823240392322898E-3</v>
      </c>
      <c r="F42" s="11">
        <v>9.0066599768473497E-3</v>
      </c>
      <c r="G42" s="11">
        <v>149.9341</v>
      </c>
      <c r="H42" t="b">
        <f t="shared" si="0"/>
        <v>0</v>
      </c>
      <c r="I42" s="5" t="b">
        <f t="shared" si="1"/>
        <v>0</v>
      </c>
    </row>
    <row r="43" spans="1:9" x14ac:dyDescent="0.25">
      <c r="A43" s="4">
        <v>40</v>
      </c>
      <c r="B43" t="s">
        <v>52</v>
      </c>
      <c r="C43" s="11">
        <v>3.1172300000000002</v>
      </c>
      <c r="D43" s="11">
        <v>0.86807163718326297</v>
      </c>
      <c r="E43" s="11">
        <v>9.2113651909306801E-3</v>
      </c>
      <c r="F43" s="11">
        <v>2.1103198242445401E-2</v>
      </c>
      <c r="G43" s="11">
        <v>359.09824333333302</v>
      </c>
      <c r="H43" t="b">
        <f t="shared" si="0"/>
        <v>0</v>
      </c>
      <c r="I43" s="5" t="b">
        <f t="shared" si="1"/>
        <v>0</v>
      </c>
    </row>
    <row r="44" spans="1:9" x14ac:dyDescent="0.25">
      <c r="A44" s="4">
        <v>41</v>
      </c>
      <c r="B44" t="s">
        <v>53</v>
      </c>
      <c r="C44" s="11">
        <v>1.1099999999999901</v>
      </c>
      <c r="D44" s="11">
        <v>3.5044199891755299</v>
      </c>
      <c r="E44" s="11">
        <v>4.7716627634660398E-3</v>
      </c>
      <c r="F44" s="11">
        <v>2.1214285714285699E-2</v>
      </c>
      <c r="G44" s="11">
        <v>31.674285714285698</v>
      </c>
      <c r="H44" t="b">
        <f t="shared" ref="H44:H45" si="2">AND(C44&gt;$C$1, D44&gt;$D$1)</f>
        <v>0</v>
      </c>
      <c r="I44" s="5" t="b">
        <f t="shared" ref="I44:I45" si="3">AND(F44&gt;$F$1,E44&gt;$E$1)</f>
        <v>0</v>
      </c>
    </row>
    <row r="45" spans="1:9" x14ac:dyDescent="0.25">
      <c r="A45" s="4">
        <v>42</v>
      </c>
      <c r="B45" t="s">
        <v>54</v>
      </c>
      <c r="C45" s="11">
        <v>1.16020238095237</v>
      </c>
      <c r="D45" s="11">
        <v>0.75356018218390897</v>
      </c>
      <c r="E45" s="11">
        <v>6.35795898090978E-3</v>
      </c>
      <c r="F45" s="11">
        <v>2.5178571428571401E-2</v>
      </c>
      <c r="G45" s="11">
        <v>153.96280328798099</v>
      </c>
      <c r="H45" t="b">
        <f t="shared" si="2"/>
        <v>0</v>
      </c>
      <c r="I45" s="5" t="b">
        <f t="shared" si="3"/>
        <v>0</v>
      </c>
    </row>
    <row r="46" spans="1:9" x14ac:dyDescent="0.25">
      <c r="A46" s="4">
        <v>43</v>
      </c>
      <c r="B46" t="s">
        <v>55</v>
      </c>
      <c r="C46" s="11">
        <v>1.3808928571428596</v>
      </c>
      <c r="D46" s="11">
        <v>0.24054718745766893</v>
      </c>
      <c r="E46" s="11">
        <v>1.515236091940266E-2</v>
      </c>
      <c r="F46" s="11">
        <v>2.9826343388275351E-2</v>
      </c>
      <c r="G46" s="11">
        <v>574.07851785714251</v>
      </c>
      <c r="H46" t="b">
        <f t="shared" ref="H46:H47" si="4">AND(C46&gt;$C$1, D46&gt;$D$1)</f>
        <v>0</v>
      </c>
      <c r="I46" s="5" t="b">
        <f t="shared" ref="I46:I47" si="5">AND(F46&gt;$F$1,E46&gt;$E$1)</f>
        <v>0</v>
      </c>
    </row>
    <row r="47" spans="1:9" x14ac:dyDescent="0.25">
      <c r="A47" s="6">
        <v>44</v>
      </c>
      <c r="B47" s="7" t="s">
        <v>56</v>
      </c>
      <c r="C47" s="12">
        <v>1.5939241496598595</v>
      </c>
      <c r="D47" s="12">
        <v>1.4746000767244558</v>
      </c>
      <c r="E47" s="12">
        <v>8.5411336707495022E-3</v>
      </c>
      <c r="F47" s="12">
        <v>3.064819508448537E-2</v>
      </c>
      <c r="G47" s="12">
        <v>108.23018775510153</v>
      </c>
      <c r="H47" s="7" t="b">
        <f t="shared" si="4"/>
        <v>0</v>
      </c>
      <c r="I47" s="8" t="b">
        <f t="shared" si="5"/>
        <v>0</v>
      </c>
    </row>
  </sheetData>
  <conditionalFormatting sqref="C4:C165">
    <cfRule type="expression" dxfId="4" priority="4">
      <formula>C4&gt;$C$1</formula>
    </cfRule>
  </conditionalFormatting>
  <conditionalFormatting sqref="D4:D66">
    <cfRule type="expression" dxfId="3" priority="3">
      <formula>D4&gt;$D$1</formula>
    </cfRule>
  </conditionalFormatting>
  <conditionalFormatting sqref="E4:E87">
    <cfRule type="expression" dxfId="2" priority="2">
      <formula>E4&gt;$E$1</formula>
    </cfRule>
  </conditionalFormatting>
  <conditionalFormatting sqref="F4:F118">
    <cfRule type="expression" dxfId="1" priority="1">
      <formula>F4&gt;$F$1</formula>
    </cfRule>
  </conditionalFormatting>
  <conditionalFormatting sqref="H1:I1048576">
    <cfRule type="cellIs" dxfId="0" priority="5" operator="equal">
      <formula>TRUE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comparison_outputs_global_model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Ziyi Wang</dc:creator>
  <cp:lastModifiedBy>Ziyi Wang</cp:lastModifiedBy>
  <dcterms:created xsi:type="dcterms:W3CDTF">2026-02-12T18:37:03Z</dcterms:created>
  <dcterms:modified xsi:type="dcterms:W3CDTF">2026-04-27T16:21:59Z</dcterms:modified>
</cp:coreProperties>
</file>